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intel\Downloads\"/>
    </mc:Choice>
  </mc:AlternateContent>
  <bookViews>
    <workbookView xWindow="0" yWindow="0" windowWidth="20490" windowHeight="7530" activeTab="2"/>
  </bookViews>
  <sheets>
    <sheet name="Sales_Data" sheetId="1" r:id="rId1"/>
    <sheet name="Supporting_Pivots" sheetId="3" r:id="rId2"/>
    <sheet name="Sales_Dashboard" sheetId="4"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<sst xmlns="http://schemas.openxmlformats.org/spreadsheetml/2006/main" count="14088" uniqueCount="2115">
  <si>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</si>
  <si>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</si>
  <si>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</si>
  <si>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</si>
  <si>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</si>
  <si>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</si>
  <si>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</si>
  <si>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</si>
  <si>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</si>
  <si>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</si>
  <si>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</si>
  <si>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</si>
  <si>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</si>
  <si>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</si>
  <si>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</si>
  <si>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</si>
  <si>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</si>
  <si>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</si>
  <si>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</si>
  <si>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</si>
  <si>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</si>
  <si>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</si>
  <si>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</si>
  <si>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</si>
  <si>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</si>
  <si>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</si>
  <si>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</si>
  <si>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</si>
  <si>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</si>
  <si>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</si>
  <si>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</si>
  <si>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</si>
  <si>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</si>
  <si>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</si>
  <si>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</si>
  <si>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</si>
  <si>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</si>
  <si>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</si>
  <si>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</si>
  <si>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</si>
  <si>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</si>
  <si>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</si>
  <si>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</si>
  <si>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</si>
  <si>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</si>
  <si>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</si>
  <si>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</si>
  <si>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</si>
  <si>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</si>
  <si>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</si>
  <si>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</si>
  <si>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</si>
  <si>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</si>
  <si>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</si>
  <si>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</si>
  <si>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</si>
  <si>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</si>
  <si>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</si>
  <si>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</si>
  <si>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</si>
  <si>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</si>
  <si>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</si>
  <si>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</si>
  <si>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</si>
  <si>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</si>
  <si>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</si>
  <si>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</si>
  <si>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</si>
  <si>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</si>
  <si>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</si>
  <si>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</si>
  <si>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</si>
  <si>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</si>
  <si>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</si>
  <si>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</si>
  <si>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</si>
  <si>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</si>
  <si>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</si>
  <si>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</si>
  <si>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</si>
  <si>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</si>
  <si>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</si>
  <si>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</si>
  <si>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</si>
  <si>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</si>
  <si>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</si>
  <si>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</si>
  <si>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</si>
  <si>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</si>
  <si>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</si>
  <si>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</si>
  <si>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</si>
  <si>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</si>
  <si>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</si>
  <si>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</si>
  <si>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</si>
  <si>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</si>
  <si>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</si>
  <si>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</si>
  <si>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</si>
  <si>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</si>
  <si>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</si>
  <si>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</si>
  <si>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</si>
  <si>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</si>
  <si>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</si>
  <si>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</si>
  <si>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</si>
  <si>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</si>
  <si>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</si>
  <si>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</si>
  <si>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</si>
  <si>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</si>
  <si>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</si>
  <si>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</si>
  <si>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</si>
  <si>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</si>
  <si>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</si>
  <si>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</si>
  <si>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</si>
  <si>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</si>
  <si>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</si>
  <si>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</si>
  <si>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</si>
  <si>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</si>
  <si>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</si>
  <si>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</si>
  <si>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</si>
  <si>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</si>
  <si>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</si>
  <si>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</si>
  <si>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</si>
  <si>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</si>
  <si>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</si>
  <si>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</si>
  <si>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</si>
  <si>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</si>
  <si>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</si>
  <si>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</si>
  <si>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</si>
  <si>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</si>
  <si>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</si>
  <si>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</si>
  <si>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</si>
  <si>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</si>
  <si>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</si>
  <si>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</si>
  <si>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</si>
  <si>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</si>
  <si>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</si>
  <si>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</si>
  <si>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</si>
  <si>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</si>
  <si>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</si>
  <si>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</si>
  <si>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</si>
  <si>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</si>
  <si>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</si>
  <si>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</si>
  <si>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</si>
  <si>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</si>
  <si>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</si>
  <si>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</si>
  <si>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</si>
  <si>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</si>
  <si>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</si>
  <si>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</si>
  <si>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</si>
  <si>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</si>
  <si>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</si>
  <si>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</si>
  <si>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</si>
  <si>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</si>
  <si>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</si>
  <si>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</si>
  <si>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</si>
  <si>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</si>
  <si>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</si>
  <si>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</si>
  <si>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</si>
  <si>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</si>
  <si>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</si>
  <si>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</si>
  <si>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</si>
  <si>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</si>
  <si>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</si>
  <si>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</si>
  <si>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</si>
  <si>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</si>
  <si>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</si>
  <si>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</si>
  <si>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</si>
  <si>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</si>
  <si>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</si>
  <si>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</si>
  <si>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</si>
  <si>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</si>
  <si>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</si>
  <si>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</si>
  <si>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</si>
  <si>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</si>
  <si>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</si>
  <si>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</si>
  <si>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</si>
  <si>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</si>
  <si>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</si>
  <si>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</si>
  <si>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</si>
  <si>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</si>
  <si>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</si>
  <si>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</si>
  <si>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</si>
  <si>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</si>
  <si>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</si>
  <si>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</si>
  <si>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</si>
  <si>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</si>
  <si>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</si>
  <si>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</si>
  <si>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</si>
  <si>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</si>
  <si>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</si>
  <si>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</si>
  <si>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</si>
  <si>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</si>
  <si>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</si>
  <si>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</si>
  <si>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</si>
  <si>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</si>
  <si>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</si>
  <si>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</si>
  <si>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</si>
  <si>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</si>
  <si>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</si>
  <si>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</si>
  <si>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</si>
  <si>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</si>
  <si>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</si>
  <si>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</si>
  <si>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</si>
  <si>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</si>
  <si>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</si>
  <si>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</si>
  <si>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</si>
  <si>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</si>
  <si>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</si>
  <si>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</si>
  <si>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</si>
  <si>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</si>
  <si>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</si>
  <si>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</si>
  <si>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</si>
  <si>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</si>
  <si>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</si>
  <si>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</si>
  <si>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</si>
  <si>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</si>
  <si>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</si>
  <si>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</si>
  <si>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</si>
  <si>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</si>
  <si>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</si>
  <si>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</si>
  <si>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</si>
  <si>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</si>
  <si>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</si>
  <si>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</si>
  <si>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</si>
  <si>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</si>
  <si>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</si>
  <si>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</si>
  <si>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</si>
  <si>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</si>
  <si>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</si>
  <si>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</si>
  <si>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</si>
  <si>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</si>
  <si>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</si>
  <si>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</si>
  <si>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</si>
  <si>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</si>
  <si>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</si>
  <si>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</si>
  <si>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</si>
  <si>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</si>
  <si>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</si>
  <si>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</si>
  <si>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</si>
  <si>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</si>
  <si>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</si>
  <si>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</si>
  <si>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</si>
  <si>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</si>
  <si>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</si>
  <si>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</si>
  <si>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</si>
  <si>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</si>
  <si>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</si>
  <si>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</si>
  <si>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</si>
  <si>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</si>
  <si>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</si>
  <si>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</si>
  <si>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</si>
  <si>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</si>
  <si>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</si>
  <si>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</si>
  <si>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</si>
  <si>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</si>
  <si>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</si>
  <si>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</si>
  <si>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</si>
  <si>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</si>
  <si>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</si>
  <si>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</si>
  <si>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</si>
  <si>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</si>
  <si>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</si>
  <si>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</si>
  <si>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</si>
  <si>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</si>
  <si>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</si>
  <si>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</si>
  <si>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</si>
  <si>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</si>
  <si>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</si>
  <si>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</si>
  <si>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</si>
  <si>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</si>
  <si>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</si>
  <si>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</si>
  <si>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</si>
  <si>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</si>
  <si>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</si>
  <si>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</si>
  <si>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</si>
  <si>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</si>
  <si>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</si>
  <si>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</si>
  <si>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</si>
  <si>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</si>
  <si>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</si>
  <si>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</si>
  <si>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</si>
  <si>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</si>
  <si>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</si>
  <si>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</si>
  <si>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</si>
  <si>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</si>
  <si>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</si>
  <si>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</si>
  <si>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</si>
  <si>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</si>
  <si>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</si>
  <si>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</si>
  <si>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</si>
  <si>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</si>
  <si>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</si>
  <si>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</si>
  <si>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</si>
  <si>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</si>
  <si>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</si>
  <si>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</si>
  <si>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</si>
  <si>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</si>
  <si>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</si>
  <si>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</si>
  <si>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</si>
  <si>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</si>
  <si>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</si>
  <si>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</si>
  <si>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</si>
  <si>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</si>
  <si>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</si>
  <si>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</si>
  <si>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</si>
  <si>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</si>
  <si>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</si>
  <si>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</si>
  <si>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</si>
  <si>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</si>
  <si>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</si>
  <si>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</si>
  <si>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</si>
  <si>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</si>
  <si>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</si>
  <si>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</si>
  <si>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</si>
  <si>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</si>
  <si>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</si>
  <si>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</si>
  <si>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</si>
  <si>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</si>
  <si>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</si>
  <si>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</si>
  <si>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</si>
  <si>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</si>
  <si>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</si>
  <si>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</si>
  <si>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</si>
  <si>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</si>
  <si>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</si>
  <si>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</si>
  <si>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</si>
  <si>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</si>
  <si>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</si>
  <si>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</si>
  <si>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</si>
  <si>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</si>
  <si>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</si>
  <si>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</si>
  <si>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</si>
  <si>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</si>
  <si>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</si>
  <si>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</si>
  <si>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</si>
  <si>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</si>
  <si>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</si>
  <si>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</si>
  <si>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</si>
  <si>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</si>
  <si>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</si>
  <si>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</si>
  <si>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</si>
  <si>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</si>
  <si>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</si>
  <si>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</si>
  <si>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</si>
  <si>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</si>
  <si>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</si>
  <si>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</si>
  <si>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</si>
  <si>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</si>
  <si>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</si>
  <si>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</si>
  <si>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</si>
  <si>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</si>
  <si>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</si>
  <si>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</si>
  <si>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</si>
  <si>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</si>
  <si>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</si>
  <si>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</si>
  <si>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</si>
  <si>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</si>
  <si>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</si>
  <si>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</si>
  <si>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</si>
  <si>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</si>
  <si>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</si>
  <si>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</si>
  <si>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</si>
  <si>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</si>
  <si>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</si>
  <si>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</si>
  <si>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</si>
  <si>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</si>
  <si>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</si>
  <si>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</si>
  <si>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</si>
  <si>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</si>
  <si>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</si>
  <si>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</si>
  <si>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</si>
  <si>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</si>
  <si>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</si>
  <si>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</si>
  <si>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</si>
  <si>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</si>
  <si>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</si>
  <si>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</si>
  <si>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</si>
  <si>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</si>
  <si>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</si>
  <si>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</si>
  <si>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</si>
  <si>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</si>
  <si>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</si>
  <si>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</si>
  <si>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</si>
  <si>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</si>
  <si>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</si>
  <si>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</si>
  <si>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</si>
  <si>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</si>
  <si>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</si>
  <si>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</si>
  <si>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</si>
  <si>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</si>
  <si>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</si>
  <si>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</si>
  <si>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</si>
  <si>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</si>
  <si>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</si>
  <si>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</si>
  <si>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</si>
  <si>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</si>
  <si>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</si>
  <si>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</si>
  <si>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</si>
  <si>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</si>
  <si>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</si>
  <si>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</si>
  <si>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</si>
  <si>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</si>
  <si>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</si>
  <si>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</si>
  <si>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</si>
  <si>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</si>
  <si>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</si>
  <si>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</si>
  <si>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</si>
  <si>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</si>
  <si>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</si>
  <si>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</si>
  <si>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</si>
  <si>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</si>
  <si>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</si>
  <si>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</si>
  <si>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</si>
  <si>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</si>
  <si>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</si>
  <si>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</si>
  <si>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</si>
  <si>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</si>
  <si>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</si>
  <si>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</si>
  <si>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</si>
  <si>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</si>
  <si>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</si>
  <si>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</si>
  <si>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</si>
  <si>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</si>
  <si>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</si>
  <si>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</si>
  <si>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</si>
  <si>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</si>
  <si>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</si>
  <si>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</si>
  <si>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</si>
  <si>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</si>
  <si>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</si>
  <si>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</si>
  <si>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</si>
  <si>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</si>
  <si>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</si>
  <si>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</si>
  <si>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</si>
  <si>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</si>
  <si>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</si>
  <si>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</si>
  <si>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</si>
  <si>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</si>
  <si>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</si>
  <si>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</si>
  <si>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</si>
  <si>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</si>
  <si>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</si>
  <si>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</si>
  <si>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</si>
  <si>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</si>
  <si>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</si>
  <si>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</si>
  <si>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</si>
  <si>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</si>
  <si>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</si>
  <si>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</si>
  <si>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</si>
  <si>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</si>
  <si>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</si>
  <si>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</si>
  <si>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</si>
  <si>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</si>
  <si>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</si>
  <si>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</si>
  <si>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</si>
  <si>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</si>
  <si>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</si>
  <si>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</si>
  <si>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</si>
  <si>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</si>
  <si>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</si>
  <si>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</si>
  <si>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</si>
  <si>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</si>
  <si>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</si>
  <si>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</si>
  <si>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</si>
  <si>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</si>
  <si>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</si>
  <si>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</si>
  <si>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</si>
  <si>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</si>
  <si>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</si>
  <si>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</si>
  <si>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</si>
  <si>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</si>
  <si>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</si>
  <si>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</si>
  <si>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</si>
  <si>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</si>
  <si>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</si>
  <si>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</si>
  <si>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</si>
  <si>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</si>
  <si>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</si>
  <si>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</si>
  <si>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</si>
  <si>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</si>
  <si>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</si>
  <si>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</si>
  <si>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</si>
  <si>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</si>
  <si>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</si>
  <si>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</si>
  <si>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</si>
  <si>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</si>
  <si>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</si>
  <si>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</si>
  <si>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</si>
  <si>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</si>
  <si>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</si>
  <si>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</si>
  <si>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</si>
  <si>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</si>
  <si>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</si>
  <si>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</si>
  <si>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</si>
  <si>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</si>
  <si>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</si>
  <si>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</si>
  <si>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</si>
  <si>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</si>
  <si>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</si>
  <si>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</si>
  <si>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</si>
  <si>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</si>
  <si>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</si>
  <si>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</si>
  <si>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</si>
  <si>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</si>
  <si>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</si>
  <si>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</si>
  <si>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</si>
  <si>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</si>
  <si>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</si>
  <si>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</si>
  <si>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</si>
  <si>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</si>
  <si>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</si>
  <si>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</si>
  <si>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</si>
  <si>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</si>
  <si>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</si>
  <si>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</si>
  <si>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</si>
  <si>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</si>
  <si>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</si>
  <si>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</si>
  <si>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</si>
  <si>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</si>
  <si>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</si>
  <si>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</si>
  <si>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</si>
  <si>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</si>
  <si>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</si>
  <si>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</si>
  <si>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</si>
  <si>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</si>
  <si>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</si>
  <si>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</si>
  <si>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</si>
  <si>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</si>
  <si>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</si>
  <si>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</si>
  <si>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</si>
  <si>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</si>
  <si>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</si>
  <si>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</si>
  <si>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</si>
  <si>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</si>
  <si>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</si>
  <si>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</si>
  <si>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</si>
  <si>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</si>
  <si>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</si>
  <si>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</si>
  <si>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</si>
  <si>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</si>
  <si>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</si>
  <si>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</si>
  <si>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</si>
  <si>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</si>
  <si>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</si>
  <si>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</si>
  <si>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</si>
  <si>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</si>
  <si>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</si>
  <si>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</si>
  <si>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</si>
  <si>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</si>
  <si>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</si>
  <si>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</si>
  <si>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</si>
  <si>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</si>
  <si>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</si>
  <si>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</si>
  <si>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</si>
  <si>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</si>
  <si>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</si>
  <si>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</si>
  <si>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</si>
  <si>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</si>
  <si>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</si>
  <si>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</si>
  <si>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</si>
  <si>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</si>
  <si>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</si>
  <si>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</si>
  <si>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</si>
  <si>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</si>
  <si>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</si>
  <si>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</si>
  <si>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</si>
  <si>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</si>
  <si>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</si>
  <si>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</si>
  <si>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</si>
  <si>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</si>
  <si>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</si>
  <si>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</si>
  <si>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</si>
  <si>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</si>
  <si>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</si>
  <si>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</si>
  <si>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</si>
  <si>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</si>
  <si>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</si>
  <si>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</si>
  <si>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</si>
  <si>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</si>
  <si>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</si>
  <si>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</si>
  <si>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</si>
  <si>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</si>
  <si>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</si>
  <si>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</si>
  <si>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</si>
  <si>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</si>
  <si>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</si>
  <si>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</si>
  <si>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</si>
  <si>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</si>
  <si>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</si>
  <si>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</si>
  <si>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</si>
  <si>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</si>
  <si>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</si>
  <si>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</si>
  <si>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</si>
  <si>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</si>
  <si>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</si>
  <si>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</si>
  <si>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</si>
  <si>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</si>
  <si>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</si>
  <si>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</si>
  <si>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</si>
  <si>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</si>
  <si>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</si>
  <si>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</si>
  <si>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</si>
  <si>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</si>
  <si>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</si>
  <si>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</si>
  <si>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</si>
  <si>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</si>
  <si>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</si>
  <si>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</si>
  <si>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</si>
  <si>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</si>
  <si>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</si>
  <si>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</si>
  <si>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</si>
  <si>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</si>
  <si>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</si>
  <si>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</si>
  <si>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</si>
  <si>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</si>
  <si>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</si>
  <si>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</si>
  <si>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</si>
  <si>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</si>
  <si>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</si>
  <si>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</si>
  <si>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</si>
  <si>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</si>
  <si>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</si>
  <si>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</si>
  <si>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</si>
  <si>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</si>
  <si>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</si>
  <si>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</si>
  <si>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</si>
  <si>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</si>
  <si>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</si>
  <si>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</si>
  <si>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</si>
  <si>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</si>
  <si>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</si>
  <si>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</si>
  <si>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</si>
  <si>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</si>
  <si>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</si>
  <si>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</si>
  <si>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</si>
  <si>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</si>
  <si>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</si>
  <si>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</si>
  <si>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</si>
  <si>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</si>
  <si>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</si>
  <si>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</si>
  <si>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</si>
  <si>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</si>
  <si>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</si>
  <si>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</si>
  <si>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</si>
  <si>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</si>
  <si>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</si>
  <si>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</si>
  <si>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</si>
  <si>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</si>
  <si>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</si>
  <si>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</si>
  <si>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</si>
  <si>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</si>
  <si>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</si>
  <si>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</si>
  <si>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</si>
  <si>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</si>
  <si>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</si>
  <si>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</si>
  <si>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</si>
  <si>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</si>
  <si>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</si>
  <si>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</si>
  <si>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</si>
  <si>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</si>
  <si>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</si>
  <si>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</si>
  <si>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</si>
  <si>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</si>
  <si>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</si>
  <si>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</si>
  <si>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</si>
  <si>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</si>
  <si>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</si>
  <si>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</si>
  <si>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</si>
  <si>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</si>
  <si>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</si>
  <si>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</si>
  <si>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</si>
  <si>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</si>
  <si>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</si>
  <si>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</si>
  <si>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</si>
  <si>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</si>
  <si>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</si>
  <si>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</si>
  <si>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</si>
  <si>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</si>
  <si>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</si>
  <si>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</si>
  <si>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</si>
  <si>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</si>
  <si>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</si>
  <si>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</si>
  <si>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</si>
  <si>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</si>
  <si>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</si>
  <si>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</si>
  <si>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</si>
  <si>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</si>
  <si>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</si>
  <si>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</si>
  <si>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</si>
  <si>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</si>
  <si>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</si>
  <si>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</si>
  <si>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</si>
  <si>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</si>
  <si>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</si>
  <si>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</si>
  <si>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</si>
  <si>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</si>
  <si>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</si>
  <si>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</si>
  <si>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</si>
  <si>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</si>
  <si>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</si>
  <si>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</si>
  <si>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</si>
  <si>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</si>
  <si>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</si>
  <si>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</si>
  <si>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</si>
  <si>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</si>
  <si>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</si>
  <si>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</si>
  <si>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</si>
  <si>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</si>
  <si>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</si>
  <si>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</si>
  <si>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</si>
  <si>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</si>
  <si>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</si>
  <si>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</si>
  <si>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</si>
  <si>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</si>
  <si>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</si>
  <si>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</si>
  <si>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</si>
  <si>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</si>
  <si>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</si>
  <si>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</si>
  <si>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</si>
  <si>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</si>
  <si>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</si>
  <si>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</si>
  <si>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</si>
  <si>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</si>
  <si>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</si>
  <si>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</si>
  <si>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</si>
  <si>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</si>
  <si>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</si>
  <si>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</si>
  <si>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</si>
  <si>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</si>
  <si>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</si>
  <si>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</si>
  <si>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</si>
  <si>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</si>
  <si>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</si>
  <si>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</si>
  <si>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</si>
  <si>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</si>
  <si>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</si>
  <si>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</si>
  <si>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</si>
  <si>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</si>
  <si>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</si>
  <si>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</si>
  <si>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</si>
  <si>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</si>
  <si>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</si>
  <si>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</si>
  <si>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</si>
  <si>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</si>
  <si>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</si>
  <si>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</si>
  <si>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</si>
  <si>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</si>
  <si>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</si>
  <si>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</si>
  <si>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</si>
  <si>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</si>
  <si>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</si>
  <si>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</si>
  <si>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</si>
  <si>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</si>
  <si>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</si>
  <si>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</si>
  <si>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</si>
  <si>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</si>
  <si>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</si>
  <si>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</si>
  <si>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</si>
  <si>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</si>
  <si>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</si>
  <si>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</si>
  <si>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</si>
  <si>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</si>
  <si>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</si>
  <si>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</si>
  <si>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</si>
  <si>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</si>
  <si>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</si>
  <si>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</si>
  <si>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</si>
  <si>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</si>
  <si>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</si>
  <si>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</si>
  <si>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</si>
  <si>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</si>
  <si>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</si>
  <si>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</si>
  <si>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</si>
  <si>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</si>
  <si>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</si>
  <si>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</si>
  <si>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</si>
  <si>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</si>
  <si>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</si>
  <si>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</si>
  <si>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</si>
  <si>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</si>
  <si>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</si>
  <si>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</si>
  <si>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</si>
  <si>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</si>
  <si>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</si>
  <si>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</si>
  <si>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</si>
  <si>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</si>
  <si>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</si>
  <si>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</si>
  <si>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</si>
  <si>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</si>
  <si>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</si>
  <si>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</si>
  <si>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</si>
  <si>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</si>
  <si>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</si>
  <si>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</si>
  <si>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</si>
  <si>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</si>
  <si>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</si>
  <si>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</si>
  <si>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</si>
  <si>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</si>
  <si>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</si>
  <si>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</si>
  <si>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</si>
  <si>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</si>
  <si>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</si>
  <si>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</si>
  <si>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</si>
  <si>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</si>
  <si>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</si>
  <si>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</si>
  <si>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</si>
  <si>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</si>
  <si>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</si>
  <si>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</si>
  <si>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</si>
  <si>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</si>
  <si>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</si>
  <si>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</si>
  <si>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</si>
  <si>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</si>
  <si>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</si>
  <si>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</si>
  <si>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</si>
  <si>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</si>
  <si>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</si>
  <si>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</si>
  <si>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</si>
  <si>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</si>
  <si>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</si>
  <si>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</si>
  <si>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</si>
  <si>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</si>
  <si>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</si>
  <si>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</si>
  <si>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</si>
  <si>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</si>
  <si>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</si>
  <si>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</si>
  <si>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</si>
  <si>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</si>
  <si>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</si>
  <si>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</si>
  <si>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</si>
  <si>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</si>
  <si>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</si>
  <si>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</si>
  <si>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</si>
  <si>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</si>
  <si>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</si>
  <si>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</si>
  <si>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</si>
  <si>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</si>
  <si>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</si>
  <si>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</si>
  <si>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</si>
  <si>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</si>
  <si>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</si>
  <si>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</si>
  <si>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</si>
  <si>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</si>
  <si>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</si>
  <si>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</si>
  <si>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</si>
  <si>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</si>
  <si>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</si>
  <si>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</si>
  <si>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</si>
  <si>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</si>
  <si>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</si>
  <si>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</si>
  <si>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</si>
  <si>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</si>
  <si>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</si>
  <si>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</si>
  <si>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</si>
  <si>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</si>
  <si>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</si>
  <si>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</si>
  <si>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</si>
  <si>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</si>
  <si>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</si>
  <si>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</si>
  <si>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</si>
  <si>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</si>
  <si>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</si>
  <si>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</si>
  <si>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</si>
  <si>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</si>
  <si>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</si>
  <si>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</si>
  <si>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</si>
  <si>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</si>
  <si>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</si>
  <si>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</si>
  <si>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</si>
  <si>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</si>
  <si>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</si>
  <si>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</si>
  <si>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</si>
  <si>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</si>
  <si>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</si>
  <si>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</si>
  <si>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</si>
  <si>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</si>
  <si>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</si>
  <si>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</si>
  <si>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</si>
  <si>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</si>
  <si>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</si>
  <si>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</si>
  <si>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</si>
  <si>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</si>
  <si>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</si>
  <si>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</si>
  <si>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</si>
  <si>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</si>
  <si>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</si>
  <si>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</si>
  <si>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</si>
  <si>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</si>
  <si>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</si>
  <si>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</si>
  <si>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</si>
  <si>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</si>
  <si>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</si>
  <si>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</si>
  <si>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</si>
  <si>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</si>
  <si>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</si>
  <si>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</si>
  <si>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</si>
  <si>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</si>
  <si>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</si>
  <si>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</si>
  <si>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</si>
  <si>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</si>
  <si>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</si>
  <si>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</si>
  <si>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</si>
  <si>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</si>
  <si>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</si>
  <si>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</si>
  <si>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</si>
  <si>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</si>
  <si>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</si>
  <si>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</si>
  <si>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</si>
  <si>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</si>
  <si>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</si>
  <si>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</si>
  <si>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</si>
  <si>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</si>
  <si>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</si>
  <si>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</si>
  <si>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</si>
  <si>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</si>
  <si>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</si>
  <si>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</si>
  <si>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</si>
  <si>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</si>
  <si>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</si>
  <si>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</si>
  <si>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</si>
  <si>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</si>
  <si>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</si>
  <si>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</si>
  <si>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</si>
  <si>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</si>
  <si>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</si>
  <si>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</si>
  <si>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</si>
  <si>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</si>
  <si>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</si>
  <si>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</si>
  <si>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</si>
  <si>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</si>
  <si>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</si>
  <si>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</si>
  <si>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</si>
  <si>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</si>
  <si>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</si>
  <si>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</si>
  <si>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</si>
  <si>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</si>
  <si>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</si>
  <si>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</si>
  <si>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</si>
  <si>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</si>
  <si>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</si>
  <si>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</si>
  <si>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</si>
  <si>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</si>
  <si>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</si>
  <si>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</si>
  <si>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</si>
  <si>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</si>
  <si>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</si>
  <si>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</si>
  <si>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</si>
  <si>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</si>
  <si>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</si>
  <si>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</si>
  <si>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</si>
  <si>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</si>
  <si>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</si>
  <si>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</si>
  <si>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</si>
  <si>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</si>
  <si>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</si>
  <si>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</si>
  <si>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</si>
  <si>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</si>
  <si>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</si>
  <si>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</si>
  <si>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</si>
  <si>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</si>
  <si>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</si>
  <si>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</si>
  <si>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</si>
  <si>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</si>
  <si>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</si>
  <si>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</si>
  <si>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</si>
  <si>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</si>
  <si>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</si>
  <si>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</si>
  <si>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</si>
  <si>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</si>
  <si>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</si>
  <si>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</si>
  <si>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</si>
  <si>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</si>
  <si>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</si>
  <si>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</si>
  <si>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</si>
  <si>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</si>
  <si>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</si>
  <si>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</si>
  <si>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</si>
  <si>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</si>
  <si>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</si>
  <si>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</si>
  <si>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</si>
  <si>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</si>
  <si>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</si>
  <si>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</si>
  <si>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</si>
  <si>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</si>
  <si>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</si>
  <si>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</si>
  <si>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</si>
  <si>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</si>
  <si>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</si>
  <si>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</si>
  <si>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</si>
  <si>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</si>
  <si>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</si>
  <si>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</si>
  <si>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</si>
  <si>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</si>
  <si>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</si>
  <si>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</si>
  <si>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</si>
  <si>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</si>
  <si>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</si>
  <si>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</si>
  <si>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</si>
  <si>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</si>
  <si>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</si>
  <si>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</si>
  <si>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</si>
  <si>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</si>
  <si>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</si>
  <si>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</si>
  <si>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</si>
  <si>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</si>
  <si>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</si>
  <si>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</si>
  <si>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</si>
  <si>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</si>
  <si>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</si>
  <si>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</si>
  <si>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</si>
  <si>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</si>
  <si>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</si>
  <si>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</si>
  <si>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</si>
  <si>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</si>
  <si>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</si>
  <si>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</si>
  <si>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</si>
  <si>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</si>
  <si>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</si>
  <si>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</si>
  <si>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</si>
  <si>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</si>
  <si>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</si>
  <si>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</si>
  <si>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</si>
  <si>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</si>
  <si>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</si>
  <si>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</si>
  <si>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</si>
  <si>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</si>
  <si>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</si>
  <si>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</si>
  <si>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</si>
  <si>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</si>
  <si>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</si>
  <si>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</si>
  <si>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</si>
  <si>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</si>
  <si>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</si>
  <si>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</si>
  <si>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</si>
  <si>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</si>
  <si>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</si>
  <si>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</si>
  <si>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</si>
  <si>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</si>
  <si>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</si>
  <si>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</si>
  <si>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</si>
  <si>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</si>
  <si>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</si>
  <si>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</si>
  <si>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</si>
  <si>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</si>
  <si>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</si>
  <si>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</si>
  <si>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</si>
  <si>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</si>
  <si>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</si>
  <si>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</si>
  <si>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</si>
  <si>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</si>
  <si>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</si>
  <si>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</si>
  <si>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</si>
  <si>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</si>
  <si>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</si>
  <si>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</si>
  <si>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</si>
  <si>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</si>
  <si>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</si>
  <si>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</si>
  <si>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</si>
  <si>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</si>
  <si>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</si>
  <si>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</si>
  <si>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</si>
  <si>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</si>
  <si>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</si>
  <si>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</si>
  <si>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</si>
  <si>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</si>
  <si>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</si>
  <si>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</si>
  <si>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</si>
  <si>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</si>
  <si>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</si>
  <si>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</si>
  <si>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</si>
  <si>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</si>
  <si>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</si>
  <si>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</si>
  <si>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</si>
  <si>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</si>
  <si>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</si>
  <si>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</si>
  <si>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</si>
  <si>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</si>
  <si>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</si>
  <si>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</si>
  <si>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</si>
  <si>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</si>
  <si>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</si>
  <si>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</si>
  <si>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</si>
  <si>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</si>
  <si>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</si>
  <si>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</si>
  <si>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</si>
  <si>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</si>
  <si>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</si>
  <si>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</si>
  <si>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</si>
  <si>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</si>
  <si>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</si>
  <si>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</si>
  <si>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</si>
  <si>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</si>
  <si>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</si>
  <si>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</si>
  <si>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</si>
  <si>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</si>
  <si>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</si>
  <si>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</si>
  <si>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</si>
  <si>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</si>
  <si>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</si>
  <si>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</si>
  <si>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</si>
  <si>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</si>
  <si>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</si>
  <si>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</si>
  <si>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</si>
  <si>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</si>
  <si>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</si>
  <si>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</si>
  <si>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</si>
  <si>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</si>
  <si>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</si>
  <si>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</si>
  <si>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</si>
  <si>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</si>
  <si>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</si>
  <si>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</si>
  <si>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</si>
  <si>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</si>
  <si>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</si>
  <si>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</si>
  <si>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</si>
  <si>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</si>
  <si>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</si>
  <si>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</si>
  <si>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</si>
  <si>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</si>
  <si>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</si>
  <si>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</si>
  <si>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</si>
  <si>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</si>
  <si>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</si>
  <si>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</si>
  <si>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</si>
  <si>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</si>
  <si>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</si>
  <si>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</si>
  <si>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</si>
  <si>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</si>
  <si>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</si>
  <si>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</si>
  <si>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</si>
  <si>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</si>
  <si>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</si>
  <si>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</si>
  <si>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</si>
  <si>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</si>
  <si>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</si>
  <si>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</si>
  <si>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</si>
  <si>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</si>
  <si>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</si>
  <si>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</si>
  <si>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</si>
  <si>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</si>
  <si>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</si>
  <si>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</si>
  <si>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</si>
  <si>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</si>
  <si>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</si>
  <si>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</si>
  <si>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</si>
  <si>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</si>
  <si>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</si>
  <si>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</si>
  <si>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</si>
  <si>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</si>
  <si>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</si>
  <si>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</si>
  <si>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</si>
  <si>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</si>
  <si>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</si>
  <si>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</si>
  <si>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</si>
  <si>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</si>
  <si>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</si>
  <si>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</si>
  <si>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</si>
  <si>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</si>
  <si>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</si>
  <si>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</si>
  <si>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</si>
  <si>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</si>
  <si>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</si>
  <si>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</si>
  <si>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</si>
  <si>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</si>
  <si>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</si>
  <si>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</si>
  <si>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</si>
  <si>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</si>
  <si>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</si>
  <si>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</si>
  <si>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</si>
  <si>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</si>
  <si>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</si>
  <si>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</si>
  <si>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</si>
  <si>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</si>
  <si>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</si>
  <si>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</si>
  <si>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</si>
  <si>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</si>
  <si>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</si>
  <si>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</si>
  <si>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</si>
  <si>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</si>
  <si>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</si>
  <si>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</si>
  <si>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</si>
  <si>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</si>
  <si>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</si>
  <si>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</si>
  <si>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</si>
  <si>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</si>
  <si>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</si>
  <si>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</si>
  <si>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</si>
  <si>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</si>
  <si>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</si>
  <si>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</si>
  <si>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</si>
  <si>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</si>
  <si>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</si>
  <si>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</si>
  <si>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</si>
  <si>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</si>
  <si>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</si>
  <si>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</si>
  <si>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</si>
  <si>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</si>
  <si>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</si>
  <si>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</si>
  <si>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</si>
  <si>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</si>
  <si>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</si>
  <si>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</si>
  <si>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</si>
  <si>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</si>
  <si>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</si>
  <si>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</si>
  <si>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</si>
  <si>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</si>
  <si>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</si>
  <si>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</si>
  <si>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</si>
  <si>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</si>
  <si>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</si>
  <si>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</si>
  <si>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</si>
  <si>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</si>
  <si>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</si>
  <si>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</si>
  <si>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</si>
  <si>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</si>
  <si>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</si>
  <si>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</si>
  <si>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</si>
  <si>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</si>
  <si>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</si>
  <si>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</si>
  <si>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</si>
  <si>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</si>
  <si>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</si>
  <si>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</si>
  <si>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</si>
  <si>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</si>
  <si>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</si>
  <si>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</si>
  <si>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</si>
  <si>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</si>
  <si>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</si>
  <si>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</si>
  <si>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</si>
  <si>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</si>
  <si>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</si>
  <si>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</si>
  <si>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</si>
  <si>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</si>
  <si>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</si>
  <si>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</si>
  <si>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</si>
  <si>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</si>
  <si>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</si>
  <si>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</si>
  <si>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</si>
  <si>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</si>
  <si>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</si>
  <si>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</si>
  <si>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</si>
  <si>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</si>
  <si>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</si>
  <si>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</si>
  <si>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</si>
  <si>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</si>
  <si>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</si>
  <si>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</si>
  <si>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</si>
  <si>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</si>
  <si>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</si>
  <si>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</si>
  <si>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</si>
  <si>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</si>
  <si>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</si>
  <si>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</si>
  <si>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</si>
  <si>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</si>
  <si>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</si>
  <si>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</si>
  <si>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</si>
  <si>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</si>
  <si>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</si>
  <si>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</si>
  <si>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</si>
  <si>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</si>
  <si>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</si>
  <si>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</si>
  <si>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</si>
  <si>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</si>
  <si>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</si>
  <si>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</si>
  <si>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</si>
  <si>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</si>
  <si>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</si>
  <si>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</si>
  <si>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</si>
  <si>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</si>
  <si>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</si>
  <si>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</si>
  <si>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</si>
  <si>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</si>
  <si>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</si>
  <si>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</si>
  <si>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</si>
  <si>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</si>
  <si>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</si>
  <si>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</si>
  <si>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</si>
  <si>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</si>
  <si>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</si>
  <si>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</si>
  <si>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</si>
  <si>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</si>
  <si>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</si>
  <si>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</si>
  <si>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</si>
  <si>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</si>
  <si>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</si>
  <si>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</si>
  <si>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</si>
  <si>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</si>
  <si>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</si>
  <si>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</si>
  <si>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</si>
  <si>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</si>
  <si>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</si>
  <si>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</si>
  <si>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</si>
  <si>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</si>
  <si>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</si>
  <si>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</si>
  <si>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</si>
  <si>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</si>
  <si>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</si>
  <si>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</si>
  <si>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</si>
  <si>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</si>
  <si>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</si>
  <si>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</si>
  <si>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</si>
  <si>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</si>
  <si>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</si>
  <si>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</si>
  <si>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</si>
  <si>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</si>
  <si>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</si>
  <si>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</si>
  <si>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</si>
  <si>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</si>
  <si>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</si>
  <si>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</si>
  <si>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</si>
  <si>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</si>
  <si>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</si>
  <si>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</si>
  <si>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</si>
  <si>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</si>
  <si>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</si>
  <si>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</si>
  <si>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</si>
  <si>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</si>
  <si>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</si>
  <si>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</si>
  <si>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</si>
  <si>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</si>
  <si>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</si>
  <si>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</si>
  <si>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</si>
  <si>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</si>
  <si>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</si>
  <si>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</si>
  <si>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</si>
  <si>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</si>
  <si>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</si>
  <si>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</si>
  <si>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</si>
  <si>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</si>
  <si>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</si>
  <si>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</si>
  <si>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</si>
  <si>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</si>
  <si>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</si>
  <si>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</si>
  <si>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</si>
  <si>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</si>
  <si>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</si>
  <si>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</si>
  <si>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</si>
  <si>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</si>
  <si>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</si>
  <si>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</si>
  <si>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</si>
  <si>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</si>
  <si>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</si>
  <si>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</si>
  <si>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</si>
  <si>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</si>
  <si>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</si>
  <si>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</si>
  <si>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</si>
  <si>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</si>
  <si>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</si>
  <si>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</si>
  <si>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</si>
  <si>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</si>
  <si>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</si>
  <si>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</si>
  <si>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</si>
  <si>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</si>
  <si>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</si>
  <si>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</si>
  <si>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</si>
  <si>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</si>
  <si>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</si>
  <si>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</si>
  <si>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</si>
  <si>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</si>
  <si>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</si>
  <si>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</si>
  <si>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</si>
  <si>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</si>
  <si>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</si>
  <si>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</si>
  <si>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</si>
  <si>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</si>
  <si>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</si>
  <si>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</si>
  <si>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</si>
  <si>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</si>
  <si>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</si>
  <si>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</si>
  <si>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</si>
  <si>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</si>
  <si>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</si>
  <si>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</si>
  <si>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</si>
  <si>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</si>
  <si>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</si>
  <si>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</si>
  <si>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</si>
  <si>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</si>
  <si>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</si>
  <si>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</si>
  <si>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</si>
  <si>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</si>
  <si>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</si>
  <si>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</si>
  <si>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</si>
  <si>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</si>
  <si>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</si>
  <si>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</si>
  <si>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</si>
  <si>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</si>
  <si>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</si>
  <si>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</si>
  <si>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</si>
  <si>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</si>
  <si>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</si>
  <si>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</si>
  <si>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</si>
  <si>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</si>
  <si>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</si>
  <si>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</si>
  <si>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</si>
  <si>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</si>
  <si>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</si>
  <si>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</si>
  <si>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</si>
  <si>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</si>
  <si>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</si>
  <si>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</si>
  <si>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</si>
  <si>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</si>
  <si>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</si>
  <si>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</si>
  <si>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</si>
  <si>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</si>
  <si>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</si>
  <si>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</si>
  <si>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</si>
  <si>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</si>
  <si>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</si>
  <si>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</si>
  <si>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</si>
  <si>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</si>
  <si>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</si>
  <si>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</si>
  <si>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</si>
  <si>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</si>
  <si>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</si>
  <si>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</si>
  <si>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</si>
  <si>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</si>
  <si>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</si>
  <si>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</si>
  <si>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</si>
  <si>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</si>
  <si>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</si>
  <si>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</si>
  <si>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</si>
  <si>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</si>
  <si>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</si>
  <si>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</si>
  <si>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</si>
  <si>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</si>
  <si>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</si>
  <si>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</si>
  <si>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</si>
  <si>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</si>
  <si>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</si>
  <si>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</si>
  <si>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</si>
  <si>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</si>
  <si>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</si>
  <si>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</si>
  <si>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</si>
  <si>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</si>
  <si>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</si>
  <si>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</si>
  <si>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</si>
  <si>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</si>
  <si>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</si>
  <si>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</si>
  <si>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</si>
  <si>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</si>
  <si>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</si>
  <si>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</si>
  <si>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</si>
  <si>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</si>
  <si>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</si>
  <si>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</si>
  <si>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</si>
  <si>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</si>
  <si>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</si>
  <si>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</si>
  <si>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</si>
  <si>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</si>
  <si>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</si>
  <si>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</si>
  <si>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</si>
  <si>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</si>
  <si>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</si>
  <si>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</si>
  <si>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</si>
  <si>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</si>
  <si>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</si>
  <si>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</si>
  <si>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</si>
  <si>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</si>
  <si>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</si>
  <si>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</si>
  <si>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</si>
  <si>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</si>
  <si>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</si>
  <si>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</si>
  <si>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</si>
  <si>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</si>
  <si>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</si>
  <si>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</si>
  <si>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</si>
  <si>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</si>
  <si>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</si>
  <si>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</si>
  <si>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</si>
  <si>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</si>
  <si>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</si>
  <si>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</si>
  <si>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</si>
  <si>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</si>
  <si>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</si>
  <si>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</si>
  <si>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</si>
  <si>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</si>
  <si>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</si>
  <si>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</si>
  <si>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</si>
  <si>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</si>
  <si>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</si>
  <si>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</si>
  <si>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</si>
  <si>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</si>
  <si>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</si>
  <si>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</si>
  <si>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</si>
  <si>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</si>
  <si>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</si>
  <si>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</si>
  <si>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</si>
  <si>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</si>
  <si>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</si>
  <si>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</si>
  <si>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</si>
  <si>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</si>
  <si>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</si>
  <si>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</si>
  <si>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</si>
  <si>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</si>
  <si>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</si>
  <si>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</si>
  <si>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</si>
  <si>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</si>
  <si>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</si>
  <si>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</si>
  <si>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</si>
  <si>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</si>
  <si>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</si>
  <si>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</si>
  <si>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</si>
  <si>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</si>
  <si>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</si>
  <si>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</si>
  <si>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</si>
  <si>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</si>
  <si>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</si>
  <si>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</si>
  <si>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</si>
  <si>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</si>
  <si>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</si>
  <si>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</si>
  <si>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</si>
  <si>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</si>
  <si>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</si>
  <si>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</si>
  <si>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</si>
  <si>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</si>
  <si>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</si>
  <si>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</si>
  <si>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</si>
  <si>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</si>
  <si>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</si>
  <si>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</si>
  <si>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</si>
  <si>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</si>
  <si>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</si>
  <si>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</si>
  <si>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</si>
  <si>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</si>
  <si>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</si>
  <si>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</si>
  <si>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</si>
  <si>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</si>
  <si>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</si>
  <si>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</si>
  <si>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</si>
  <si>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</si>
  <si>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</si>
  <si>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</si>
  <si>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</si>
  <si>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</si>
  <si>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</si>
  <si>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</si>
  <si>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</si>
  <si>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</si>
  <si>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</si>
  <si>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</si>
  <si>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</si>
  <si>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</si>
  <si>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</si>
  <si>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</si>
  <si>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</si>
  <si>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</si>
  <si>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</si>
  <si>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</si>
  <si>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</si>
  <si>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</si>
  <si>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</si>
  <si>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</si>
  <si>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</si>
  <si>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</si>
  <si>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</si>
  <si>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</si>
  <si>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</si>
  <si>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</si>
  <si>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</si>
  <si>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</si>
  <si>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</si>
  <si>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</si>
  <si>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</si>
  <si>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</si>
  <si>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</si>
  <si>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</si>
  <si>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</si>
  <si>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</si>
  <si>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</si>
  <si>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</si>
  <si>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</si>
  <si>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</si>
  <si>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</si>
  <si>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</si>
  <si>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</si>
  <si>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</si>
  <si>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</si>
  <si>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</si>
  <si>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</si>
  <si>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</si>
  <si>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</si>
  <si>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</si>
  <si>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</si>
  <si>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</si>
  <si>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</si>
  <si>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</si>
  <si>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</si>
  <si>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</si>
  <si>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</si>
  <si>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</si>
  <si>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</si>
  <si>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</si>
  <si>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</si>
  <si>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</si>
  <si>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</si>
  <si>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</si>
  <si>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</si>
  <si>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</si>
  <si>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</si>
  <si>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</si>
  <si>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</si>
  <si>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</si>
  <si>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</si>
  <si>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</si>
  <si>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</si>
  <si>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</si>
  <si>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</si>
  <si>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</si>
  <si>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</si>
  <si>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</si>
  <si>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</si>
  <si>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</si>
  <si>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</si>
  <si>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</si>
  <si>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</si>
  <si>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</si>
  <si>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</si>
  <si>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</si>
  <si>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</si>
  <si>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</si>
  <si>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</si>
  <si>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</si>
  <si>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</si>
  <si>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</si>
  <si>
    <t>PivotTable Build Guide</t>
  </si>
  <si>
    <t>KPI PivotTables</t>
  </si>
  <si>
    <t>Chart PivotTables</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</si>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</sst>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gt;=1000000]\ \$\ #,##0.00,,&quot;M&quot;;[&gt;=1000]\ \$\ #.00,\ &quot;K&quot;;\ \$\ ###.00"/>
    <numFmt numFmtId="165" formatCode="[&gt;=1000000]\$\ #,##0.00,,&quot;M&quot;;[&gt;=1000]\$\ #.00,&quot;K&quot;;\$\ ###.00"/>
  </numFmts>
  <fonts count="11">
    <font>
      <sz val="11"/>
      <color theme="1"/>
      <name val="Segoe UI"/>
      <family val="2"/>
      <scheme val="minor"/>
    </font>
    <font>
      <sz val="11"/>
      <color theme="1"/>
      <name val="Segoe UI"/>
      <family val="2"/>
      <scheme val="minor"/>
    </font>
    <font>
      <sz val="11"/>
      <color theme="0"/>
      <name val="Segoe UI"/>
      <family val="2"/>
      <scheme val="minor"/>
    </font>
    <font>
      <b/>
      <sz val="36"/>
      <color theme="0"/>
      <name val="Segoe UI"/>
      <family val="2"/>
      <scheme val="minor"/>
    </font>
    <font>
      <b/>
      <sz val="11"/>
      <color theme="3"/>
      <name val="Segoe UI"/>
      <family val="2"/>
      <scheme val="minor"/>
    </font>
    <font>
      <b/>
      <u/>
      <sz val="1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sz val="11"/>
      <name val="Carlito"/>
    </font>
    <font>
      <u/>
      <sz val="11"/>
      <color theme="10"/>
      <name val="Carlito"/>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3"/>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9" fillId="0" borderId="0"/>
    <xf numFmtId="0" fontId="10" fillId="0" borderId="0" applyNumberFormat="0" applyFill="0" applyBorder="0" applyAlignment="0" applyProtection="0"/>
  </cellStyleXfs>
  <cellXfs count="17">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2" fillId="4" borderId="0" xfId="0" applyFont="1" applyFill="1"/>
    <xf numFmtId="14" fontId="2" fillId="4" borderId="0" xfId="0" applyNumberFormat="1" applyFont="1" applyFill="1"/>
    <xf numFmtId="0" fontId="5" fillId="4" borderId="0" xfId="0" applyFont="1" applyFill="1"/>
    <xf numFmtId="0" fontId="6" fillId="0" borderId="0" xfId="0" applyFont="1"/>
    <xf numFmtId="0" fontId="4" fillId="0" borderId="0" xfId="0" applyFont="1"/>
    <xf numFmtId="0" fontId="7" fillId="2" borderId="1" xfId="0" applyFont="1" applyFill="1" applyBorder="1" applyAlignment="1">
      <alignment horizontal="center" vertical="center"/>
    </xf>
    <xf numFmtId="0" fontId="8" fillId="3" borderId="1" xfId="0" applyFont="1" applyFill="1" applyBorder="1" applyAlignment="1">
      <alignment vertical="center"/>
    </xf>
    <xf numFmtId="165" fontId="0" fillId="0" borderId="0" xfId="0" applyNumberFormat="1"/>
    <xf numFmtId="0" fontId="3" fillId="4" borderId="0" xfId="0" applyFont="1" applyFill="1" applyAlignment="1">
      <alignment horizontal="center"/>
    </xf>
  </cellXfs>
  <cellStyles count="4">
    <cellStyle name="Hyperlink 2" xfId="3"/>
    <cellStyle name="Normal" xfId="0" builtinId="0"/>
    <cellStyle name="Normal 2" xfId="2"/>
    <cellStyle name="Percent" xfId="1" builtinId="5"/>
  </cellStyles>
  <dxfs count="4">
    <dxf>
      <numFmt numFmtId="2" formatCode="0.00"/>
    </dxf>
    <dxf>
      <font>
        <b val="0"/>
        <i val="0"/>
        <strike val="0"/>
        <condense val="0"/>
        <extend val="0"/>
        <outline val="0"/>
        <shadow val="0"/>
        <u val="none"/>
        <vertAlign val="baseline"/>
        <sz val="11"/>
        <color theme="1"/>
        <name val="Segoe UI"/>
        <scheme val="minor"/>
      </font>
    </dxf>
    <dxf>
      <numFmt numFmtId="2" formatCode="0.00"/>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F5E5-4E0A-955C-29168B15F057}"/>
            </c:ext>
          </c:extLst>
        </c:ser>
        <c:dLbls>
          <c:dLblPos val="t"/>
          <c:showLegendKey val="0"/>
          <c:showVal val="1"/>
          <c:showCatName val="0"/>
          <c:showSerName val="0"/>
          <c:showPercent val="0"/>
          <c:showBubbleSize val="0"/>
        </c:dLbls>
        <c:smooth val="0"/>
        <c:axId val="287570064"/>
        <c:axId val="224503984"/>
      </c:lineChart>
      <c:catAx>
        <c:axId val="287570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03984"/>
        <c:crosses val="autoZero"/>
        <c:auto val="1"/>
        <c:lblAlgn val="ctr"/>
        <c:lblOffset val="100"/>
        <c:noMultiLvlLbl val="0"/>
      </c:catAx>
      <c:valAx>
        <c:axId val="224503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[Excel_PivotTable_Dashboard_Practice_File.xlsx]Supporting_Pivots!PT06_Revenue_by_Region</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CF4A-4FCF-9F83-B294ADEADCC6}"/>
            </c:ext>
          </c:extLst>
        </c:ser>
        <c:dLbls>
          <c:dLblPos val="outEnd"/>
          <c:showLegendKey val="0"/>
          <c:showVal val="1"/>
          <c:showCatName val="0"/>
          <c:showSerName val="0"/>
          <c:showPercent val="0"/>
          <c:showBubbleSize val="0"/>
        </c:dLbls>
        <c:gapWidth val="219"/>
        <c:overlap val="-27"/>
        <c:axId val="234864896"/>
        <c:axId val="224486704"/>
      </c:barChart>
      <c:catAx>
        <c:axId val="23486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Region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6704"/>
        <c:crosses val="autoZero"/>
        <c:auto val="1"/>
        <c:lblAlgn val="ctr"/>
        <c:lblOffset val="100"/>
        <c:noMultiLvlLbl val="0"/>
      </c:catAx>
      <c:valAx>
        <c:axId val="224486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86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[Excel_PivotTable_Dashboard_Practice_File.xlsx]Supporting_Pivots!PT07_Revenue_by_Category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A42-44FF-8669-144033BABB8E}"/>
            </c:ext>
          </c:extLst>
        </c:ser>
        <c:dLbls>
          <c:dLblPos val="outEnd"/>
          <c:showLegendKey val="0"/>
          <c:showVal val="1"/>
          <c:showCatName val="0"/>
          <c:showSerName val="0"/>
          <c:showPercent val="0"/>
          <c:showBubbleSize val="0"/>
        </c:dLbls>
        <c:gapWidth val="219"/>
        <c:overlap val="-27"/>
        <c:axId val="387236032"/>
        <c:axId val="224456944"/>
      </c:barChart>
      <c:catAx>
        <c:axId val="38723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 Category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56944"/>
        <c:crosses val="autoZero"/>
        <c:auto val="1"/>
        <c:lblAlgn val="ctr"/>
        <c:lblOffset val="100"/>
        <c:noMultiLvlLbl val="0"/>
      </c:catAx>
      <c:valAx>
        <c:axId val="2244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[Excel_PivotTable_Dashboard_Practice_File.xlsx]Supporting_Pivots!PT08_Revenue_by_Channel</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layout/>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75-4A87-A679-6979F8C86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75-4A87-A679-6979F8C86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75-4A87-A679-6979F8C86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75-4A87-A679-6979F8C860FC}"/>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875-4A87-A679-6979F8C860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solidFill>
          <a:schemeClr val="tx1">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[Excel_PivotTable_Dashboard_Practice_File.xlsx]Supporting_Pivots!PT09_Top_5_Products</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350-4E4E-A7C3-8ADD209037C8}"/>
            </c:ext>
          </c:extLst>
        </c:ser>
        <c:dLbls>
          <c:dLblPos val="outEnd"/>
          <c:showLegendKey val="0"/>
          <c:showVal val="1"/>
          <c:showCatName val="0"/>
          <c:showSerName val="0"/>
          <c:showPercent val="0"/>
          <c:showBubbleSize val="0"/>
        </c:dLbls>
        <c:gapWidth val="182"/>
        <c:axId val="470262272"/>
        <c:axId val="224413264"/>
      </c:barChart>
      <c:catAx>
        <c:axId val="470262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Top 5 Products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13264"/>
        <c:crosses val="autoZero"/>
        <c:auto val="1"/>
        <c:lblAlgn val="ctr"/>
        <c:lblOffset val="100"/>
        <c:noMultiLvlLbl val="0"/>
      </c:catAx>
      <c:valAx>
        <c:axId val="224413264"/>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6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absolute">
    <xdr:from>
      <xdr:col>0</xdr:col>
      <xdr:colOff>133350</xdr:colOff>
      <xdr:row>3</xdr:row>
      <xdr:rowOff>104775</xdr:rowOff>
    </xdr:from>
    <xdr:to>
      <xdr:col>3</xdr:col>
      <xdr:colOff>91950</xdr:colOff>
      <xdr:row>13</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FEC2FB6-F7A2-4AB1-BD25-3EFEA5B5D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733425"/>
              <a:ext cx="2016000" cy="21050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26</xdr:row>
      <xdr:rowOff>158900</xdr:rowOff>
    </xdr:from>
    <xdr:to>
      <xdr:col>3</xdr:col>
      <xdr:colOff>91950</xdr:colOff>
      <xdr:row>35</xdr:row>
      <xdr:rowOff>187475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63BA2DF-6CC5-496E-B7E6-4319A0608F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350" y="5607200"/>
              <a:ext cx="2016000" cy="1914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36</xdr:row>
      <xdr:rowOff>152625</xdr:rowOff>
    </xdr:from>
    <xdr:to>
      <xdr:col>3</xdr:col>
      <xdr:colOff>91950</xdr:colOff>
      <xdr:row>43</xdr:row>
      <xdr:rowOff>162150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7165C2A-E955-44B0-8EE1-87660EECFE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350" y="7696425"/>
              <a:ext cx="2016000" cy="14763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14</xdr:row>
      <xdr:rowOff>79450</xdr:rowOff>
    </xdr:from>
    <xdr:to>
      <xdr:col>3</xdr:col>
      <xdr:colOff>91950</xdr:colOff>
      <xdr:row>25</xdr:row>
      <xdr:rowOff>193750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30D0B90-1B0F-4E95-97C9-0ABF3BEE37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3350" y="3013150"/>
              <a:ext cx="2016000" cy="2419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361950</xdr:colOff>
      <xdr:row>3</xdr:row>
      <xdr:rowOff>104775</xdr:rowOff>
    </xdr:from>
    <xdr:to>
      <xdr:col>5</xdr:col>
      <xdr:colOff>657225</xdr:colOff>
      <xdr:row>10</xdr:row>
      <xdr:rowOff>9525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1F9863F-E0AA-4B45-ADE0-27741097E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15</xdr:col>
      <xdr:colOff>561975</xdr:colOff>
      <xdr:row>3</xdr:row>
      <xdr:rowOff>104775</xdr:rowOff>
    </xdr:from>
    <xdr:to>
      <xdr:col>25</xdr:col>
      <xdr:colOff>504825</xdr:colOff>
      <xdr:row>10</xdr:row>
      <xdr:rowOff>9525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EC451DF3-A707-4E44-A274-24943A13849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10</xdr:col>
      <xdr:colOff>460375</xdr:colOff>
      <xdr:row>3</xdr:row>
      <xdr:rowOff>104775</xdr:rowOff>
    </xdr:from>
    <xdr:to>
      <xdr:col>15</xdr:col>
      <xdr:colOff>365125</xdr:colOff>
      <xdr:row>10</xdr:row>
      <xdr:rowOff>9525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62513895-653D-4515-9A50-896F7C3364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6</xdr:col>
      <xdr:colOff>168275</xdr:colOff>
      <xdr:row>3</xdr:row>
      <xdr:rowOff>104775</xdr:rowOff>
    </xdr:from>
    <xdr:to>
      <xdr:col>10</xdr:col>
      <xdr:colOff>263525</xdr:colOff>
      <xdr:row>10</xdr:row>
      <xdr:rowOff>9525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F48C526-4489-45F1-A727-62F9C3A592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0" name="PC05_Revenue_by_Month">
          <a:extLst>
            <a:ext uri="{FF2B5EF4-FFF2-40B4-BE49-F238E27FC236}">
              <a16:creationId xmlns:a16="http://schemas.microsoft.com/office/drawing/2014/main" id="{F49F013C-0CC8-4F71-8952-FD7DE4C4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1" name="PC06_Revenue_by_Region">
          <a:extLst>
            <a:ext uri="{FF2B5EF4-FFF2-40B4-BE49-F238E27FC236}">
              <a16:creationId xmlns:a16="http://schemas.microsoft.com/office/drawing/2014/main" id="{A7CA1DE6-653D-4A41-A7D8-A8325BDF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2" name="PC07_Revenue_by_Category">
          <a:extLst>
            <a:ext uri="{FF2B5EF4-FFF2-40B4-BE49-F238E27FC236}">
              <a16:creationId xmlns:a16="http://schemas.microsoft.com/office/drawing/2014/main" id="{BBED3227-534E-4F84-8B5A-41B8ECA0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3" name="PC08_Revenue_by_Channel">
          <a:extLst>
            <a:ext uri="{FF2B5EF4-FFF2-40B4-BE49-F238E27FC236}">
              <a16:creationId xmlns:a16="http://schemas.microsoft.com/office/drawing/2014/main" id="{8075D8A7-44F9-4D99-A2CD-A623C5E1F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4" name="PC09_Top_5_Products">
          <a:extLst>
            <a:ext uri="{FF2B5EF4-FFF2-40B4-BE49-F238E27FC236}">
              <a16:creationId xmlns:a16="http://schemas.microsoft.com/office/drawing/2014/main" id="{4E92F497-D7E8-4A2E-A88C-2DFA313A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a16="http://schemas.microsoft.com/office/drawing/2014/main" id="{B1659B7B-5D9A-D660-C21D-E3C67E1DDB55}"/>
            </a:ext>
          </a:extLst>
        </xdr:cNvPr>
        <xdr:cNvGrpSpPr/>
      </xdr:nvGrpSpPr>
      <xdr:grpSpPr>
        <a:xfrm>
          <a:off x="2403021" y="2145846"/>
          <a:ext cx="3572786" cy="1052786"/>
          <a:chOff x="2466975" y="2190750"/>
          <a:chExt cx="3600000" cy="1080000"/>
        </a:xfrm>
      </xdr:grpSpPr>
      <xdr:sp macro="" textlink="">
        <xdr:nvSpPr>
          <xdr:cNvPr id="15" name="Rectangle: Rounded Corners 14">
            <a:extLst>
              <a:ext uri="{FF2B5EF4-FFF2-40B4-BE49-F238E27FC236}">
                <a16:creationId xmlns:a16="http://schemas.microsoft.com/office/drawing/2014/main" id="{BEF3C173-EBD1-880A-7AB7-34A8729F982C}"/>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a16="http://schemas.microsoft.com/office/drawing/2014/main" id="{C065F471-94AC-FC18-AA19-5C96AF3B0059}"/>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a16="http://schemas.microsoft.com/office/drawing/2014/main" id="{360DBD73-7E41-EA71-21EB-634FFCE3DA42}"/>
                </a:ext>
              </a:extLst>
            </xdr:cNvPr>
            <xdr:cNvGrpSpPr/>
          </xdr:nvGrpSpPr>
          <xdr:grpSpPr>
            <a:xfrm>
              <a:off x="3148013" y="2269763"/>
              <a:ext cx="2864868" cy="857250"/>
              <a:chOff x="3348038" y="2266950"/>
              <a:chExt cx="2864868" cy="857250"/>
            </a:xfrm>
          </xdr:grpSpPr>
          <xdr:sp macro="" textlink="Supporting_Pivots!$B$21">
            <xdr:nvSpPr>
              <xdr:cNvPr id="16" name="TextBox 15">
                <a:extLst>
                  <a:ext uri="{FF2B5EF4-FFF2-40B4-BE49-F238E27FC236}">
                    <a16:creationId xmlns:a16="http://schemas.microsoft.com/office/drawing/2014/main" id="{016FCAD4-F36B-FBED-654D-4BB43D4A234C}"/>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a:cs typeface="Segoe UI"/>
                  </a:rPr>
                  <a:pPr algn="ctr"/>
                  <a:t>$ 2.45M</a:t>
                </a:fld>
                <a:endParaRPr lang="en-MY" sz="3200" b="1">
                  <a:solidFill>
                    <a:schemeClr val="accent1"/>
                  </a:solidFill>
                </a:endParaRPr>
              </a:p>
            </xdr:txBody>
          </xdr:sp>
          <xdr:sp macro="" textlink="Supporting_Pivots!$B$21">
            <xdr:nvSpPr>
              <xdr:cNvPr id="17" name="TextBox 16">
                <a:extLst>
                  <a:ext uri="{FF2B5EF4-FFF2-40B4-BE49-F238E27FC236}">
                    <a16:creationId xmlns:a16="http://schemas.microsoft.com/office/drawing/2014/main" id="{65F5B8DD-CB32-DBD3-3D13-CF2CCCD41D0D}"/>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Revenue</a:t>
                </a:r>
                <a:endParaRPr lang="en-MY" sz="1600" b="1">
                  <a:solidFill>
                    <a:schemeClr val="tx1"/>
                  </a:solidFill>
                </a:endParaRPr>
              </a:p>
            </xdr:txBody>
          </xdr:sp>
        </xdr:grpSp>
        <xdr:pic>
          <xdr:nvPicPr>
            <xdr:cNvPr id="19" name="Graphic 18" descr="Dollar with solid fill">
              <a:extLst>
                <a:ext uri="{FF2B5EF4-FFF2-40B4-BE49-F238E27FC236}">
                  <a16:creationId xmlns:a16="http://schemas.microsoft.com/office/drawing/2014/main" id="{2557422A-862F-4671-C271-59480E970FC0}"/>
                </a:ext>
              </a:extLst>
            </xdr:cNvPr>
            <xdr:cNvPicPr>
              <a:picLocks noChangeAspect="1"/>
            </xdr:cNvPicPr>
          </xdr:nvPicPr>
          <xdr:blipFill>
            <a:blip xmlns:r="http://schemas.openxmlformats.org/officeDocument/2006/relationships" r:embed="rId6">
              <a:extLst>
                <a:ext uri="{96DAC541-7B7A-43D3-8B79-37D633B846F1}">
                  <asvg:svgBlip xmlns=""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5" name="Group 24">
          <a:extLst>
            <a:ext uri="{FF2B5EF4-FFF2-40B4-BE49-F238E27FC236}">
              <a16:creationId xmlns:a16="http://schemas.microsoft.com/office/drawing/2014/main" id="{2046ECC9-1770-FF79-5B0D-5AA052BBEDAB}"/>
            </a:ext>
          </a:extLst>
        </xdr:cNvPr>
        <xdr:cNvGrpSpPr/>
      </xdr:nvGrpSpPr>
      <xdr:grpSpPr>
        <a:xfrm>
          <a:off x="6282114" y="2145846"/>
          <a:ext cx="3572786" cy="1052786"/>
          <a:chOff x="2466975" y="2190750"/>
          <a:chExt cx="3600000" cy="1080000"/>
        </a:xfrm>
      </xdr:grpSpPr>
      <xdr:sp macro="" textlink="">
        <xdr:nvSpPr>
          <xdr:cNvPr id="26" name="Rectangle: Rounded Corners 25">
            <a:extLst>
              <a:ext uri="{FF2B5EF4-FFF2-40B4-BE49-F238E27FC236}">
                <a16:creationId xmlns:a16="http://schemas.microsoft.com/office/drawing/2014/main" id="{7909849D-DE27-8594-BB05-948240CF3A2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7" name="Group 26">
            <a:extLst>
              <a:ext uri="{FF2B5EF4-FFF2-40B4-BE49-F238E27FC236}">
                <a16:creationId xmlns:a16="http://schemas.microsoft.com/office/drawing/2014/main" id="{CE906E20-3984-B8DC-2729-05094C9A04AF}"/>
              </a:ext>
            </a:extLst>
          </xdr:cNvPr>
          <xdr:cNvGrpSpPr/>
        </xdr:nvGrpSpPr>
        <xdr:grpSpPr>
          <a:xfrm>
            <a:off x="2883469" y="2297363"/>
            <a:ext cx="2767013" cy="866775"/>
            <a:chOff x="2876550" y="2269763"/>
            <a:chExt cx="2767013" cy="866775"/>
          </a:xfrm>
        </xdr:grpSpPr>
        <xdr:grpSp>
          <xdr:nvGrpSpPr>
            <xdr:cNvPr id="28" name="Group 27">
              <a:extLst>
                <a:ext uri="{FF2B5EF4-FFF2-40B4-BE49-F238E27FC236}">
                  <a16:creationId xmlns:a16="http://schemas.microsoft.com/office/drawing/2014/main" id="{19B2EC9D-136E-9811-BA1C-8CB8869597EA}"/>
                </a:ext>
              </a:extLst>
            </xdr:cNvPr>
            <xdr:cNvGrpSpPr/>
          </xdr:nvGrpSpPr>
          <xdr:grpSpPr>
            <a:xfrm>
              <a:off x="3595688" y="2269763"/>
              <a:ext cx="2047875" cy="866775"/>
              <a:chOff x="3795713" y="2266950"/>
              <a:chExt cx="2047875" cy="866775"/>
            </a:xfrm>
          </xdr:grpSpPr>
          <xdr:sp macro="" textlink="Supporting_Pivots!$E$21">
            <xdr:nvSpPr>
              <xdr:cNvPr id="30" name="TextBox 29">
                <a:extLst>
                  <a:ext uri="{FF2B5EF4-FFF2-40B4-BE49-F238E27FC236}">
                    <a16:creationId xmlns:a16="http://schemas.microsoft.com/office/drawing/2014/main" id="{9B7283A2-BA52-76A9-5071-CAF019233F66}"/>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a:cs typeface="Segoe UI"/>
                  </a:rPr>
                  <a:pPr algn="ctr"/>
                  <a:t>2000</a:t>
                </a:fld>
                <a:endParaRPr lang="en-MY" sz="3200" b="1">
                  <a:solidFill>
                    <a:schemeClr val="accent1"/>
                  </a:solidFill>
                </a:endParaRPr>
              </a:p>
            </xdr:txBody>
          </xdr:sp>
          <xdr:sp macro="" textlink="Supporting_Pivots!$B$21">
            <xdr:nvSpPr>
              <xdr:cNvPr id="31" name="TextBox 30">
                <a:extLst>
                  <a:ext uri="{FF2B5EF4-FFF2-40B4-BE49-F238E27FC236}">
                    <a16:creationId xmlns:a16="http://schemas.microsoft.com/office/drawing/2014/main" id="{FF4F8D40-BA7C-521E-B192-9F564C5A1ACA}"/>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Orders</a:t>
                </a:r>
                <a:endParaRPr lang="en-MY" sz="1600" b="1">
                  <a:solidFill>
                    <a:schemeClr val="tx1"/>
                  </a:solidFill>
                </a:endParaRPr>
              </a:p>
            </xdr:txBody>
          </xdr:sp>
        </xdr:grpSp>
        <xdr:pic>
          <xdr:nvPicPr>
            <xdr:cNvPr id="29" name="Graphic 28" descr="Shopping cart with solid fill">
              <a:extLst>
                <a:ext uri="{FF2B5EF4-FFF2-40B4-BE49-F238E27FC236}">
                  <a16:creationId xmlns:a16="http://schemas.microsoft.com/office/drawing/2014/main" id="{611F133E-0E59-5DBA-639A-DD1552F78610}"/>
                </a:ext>
              </a:extLst>
            </xdr:cNvPr>
            <xdr:cNvPicPr>
              <a:picLocks noChangeAspect="1"/>
            </xdr:cNvPicPr>
          </xdr:nvPicPr>
          <xdr:blipFill>
            <a:blip xmlns:r="http://schemas.openxmlformats.org/officeDocument/2006/relationships" r:embed="rId8">
              <a:extLst>
                <a:ext uri="{96DAC541-7B7A-43D3-8B79-37D633B846F1}">
                  <asvg:svgBlip xmlns="" xmlns:asvg="http://schemas.microsoft.com/office/drawing/2016/SVG/main" r:embed="rId9"/>
                </a:ext>
              </a:extLst>
            </a:blip>
            <a:src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2" name="Group 31">
          <a:extLst>
            <a:ext uri="{FF2B5EF4-FFF2-40B4-BE49-F238E27FC236}">
              <a16:creationId xmlns:a16="http://schemas.microsoft.com/office/drawing/2014/main" id="{20DE2B05-10EA-5120-3274-99AE784CEDAB}"/>
            </a:ext>
          </a:extLst>
        </xdr:cNvPr>
        <xdr:cNvGrpSpPr/>
      </xdr:nvGrpSpPr>
      <xdr:grpSpPr>
        <a:xfrm>
          <a:off x="10166650" y="2145846"/>
          <a:ext cx="3567343" cy="1052786"/>
          <a:chOff x="2466975" y="2190750"/>
          <a:chExt cx="3600000" cy="1080000"/>
        </a:xfrm>
      </xdr:grpSpPr>
      <xdr:sp macro="" textlink="">
        <xdr:nvSpPr>
          <xdr:cNvPr id="33" name="Rectangle: Rounded Corners 32">
            <a:extLst>
              <a:ext uri="{FF2B5EF4-FFF2-40B4-BE49-F238E27FC236}">
                <a16:creationId xmlns:a16="http://schemas.microsoft.com/office/drawing/2014/main" id="{F36D94E5-FEA8-6CC7-820B-BEA5C6CC0C8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4" name="Group 33">
            <a:extLst>
              <a:ext uri="{FF2B5EF4-FFF2-40B4-BE49-F238E27FC236}">
                <a16:creationId xmlns:a16="http://schemas.microsoft.com/office/drawing/2014/main" id="{417CEA01-EAC6-5F93-DD14-F259691A6BF6}"/>
              </a:ext>
            </a:extLst>
          </xdr:cNvPr>
          <xdr:cNvGrpSpPr/>
        </xdr:nvGrpSpPr>
        <xdr:grpSpPr>
          <a:xfrm>
            <a:off x="2883469" y="2297363"/>
            <a:ext cx="2767013" cy="866775"/>
            <a:chOff x="2876550" y="2269763"/>
            <a:chExt cx="2767013" cy="866775"/>
          </a:xfrm>
        </xdr:grpSpPr>
        <xdr:grpSp>
          <xdr:nvGrpSpPr>
            <xdr:cNvPr id="35" name="Group 34">
              <a:extLst>
                <a:ext uri="{FF2B5EF4-FFF2-40B4-BE49-F238E27FC236}">
                  <a16:creationId xmlns:a16="http://schemas.microsoft.com/office/drawing/2014/main" id="{7E90D873-9C81-0608-C99A-F809A8A51CA4}"/>
                </a:ext>
              </a:extLst>
            </xdr:cNvPr>
            <xdr:cNvGrpSpPr/>
          </xdr:nvGrpSpPr>
          <xdr:grpSpPr>
            <a:xfrm>
              <a:off x="3595688" y="2269763"/>
              <a:ext cx="2047875" cy="866775"/>
              <a:chOff x="3795713" y="2266950"/>
              <a:chExt cx="2047875" cy="866775"/>
            </a:xfrm>
          </xdr:grpSpPr>
          <xdr:sp macro="" textlink="Supporting_Pivots!$H$21">
            <xdr:nvSpPr>
              <xdr:cNvPr id="37" name="TextBox 36">
                <a:extLst>
                  <a:ext uri="{FF2B5EF4-FFF2-40B4-BE49-F238E27FC236}">
                    <a16:creationId xmlns:a16="http://schemas.microsoft.com/office/drawing/2014/main" id="{BE6869C3-8E7C-304B-4B1C-6B75BCDBEF6F}"/>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a:cs typeface="Segoe UI"/>
                  </a:rPr>
                  <a:pPr algn="ctr"/>
                  <a:t>5552</a:t>
                </a:fld>
                <a:endParaRPr lang="en-MY" sz="3200" b="1">
                  <a:solidFill>
                    <a:schemeClr val="accent1"/>
                  </a:solidFill>
                </a:endParaRPr>
              </a:p>
            </xdr:txBody>
          </xdr:sp>
          <xdr:sp macro="" textlink="Supporting_Pivots!$B$21">
            <xdr:nvSpPr>
              <xdr:cNvPr id="38" name="TextBox 37">
                <a:extLst>
                  <a:ext uri="{FF2B5EF4-FFF2-40B4-BE49-F238E27FC236}">
                    <a16:creationId xmlns:a16="http://schemas.microsoft.com/office/drawing/2014/main" id="{0FF1EDE7-F689-2A6A-3560-4C81BEE4FEA7}"/>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Quantity Sold</a:t>
                </a:r>
                <a:endParaRPr lang="en-MY" sz="1600" b="1">
                  <a:solidFill>
                    <a:schemeClr val="tx1"/>
                  </a:solidFill>
                </a:endParaRPr>
              </a:p>
            </xdr:txBody>
          </xdr:sp>
        </xdr:grpSp>
        <xdr:pic>
          <xdr:nvPicPr>
            <xdr:cNvPr id="36" name="Graphic 35" descr="Box with solid fill">
              <a:extLst>
                <a:ext uri="{FF2B5EF4-FFF2-40B4-BE49-F238E27FC236}">
                  <a16:creationId xmlns:a16="http://schemas.microsoft.com/office/drawing/2014/main" id="{59EF3053-1BE5-87FE-BC94-D13B75480355}"/>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rc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39" name="Group 38">
          <a:extLst>
            <a:ext uri="{FF2B5EF4-FFF2-40B4-BE49-F238E27FC236}">
              <a16:creationId xmlns:a16="http://schemas.microsoft.com/office/drawing/2014/main" id="{53983DAF-0F34-D878-2A98-7955C9B8F219}"/>
            </a:ext>
          </a:extLst>
        </xdr:cNvPr>
        <xdr:cNvGrpSpPr/>
      </xdr:nvGrpSpPr>
      <xdr:grpSpPr>
        <a:xfrm>
          <a:off x="14045743" y="2145846"/>
          <a:ext cx="3681643" cy="1052786"/>
          <a:chOff x="2466975" y="2190750"/>
          <a:chExt cx="3600000" cy="1080000"/>
        </a:xfrm>
      </xdr:grpSpPr>
      <xdr:sp macro="" textlink="">
        <xdr:nvSpPr>
          <xdr:cNvPr id="40" name="Rectangle: Rounded Corners 39">
            <a:extLst>
              <a:ext uri="{FF2B5EF4-FFF2-40B4-BE49-F238E27FC236}">
                <a16:creationId xmlns:a16="http://schemas.microsoft.com/office/drawing/2014/main" id="{9C963C73-5CDE-F4A9-4ABD-2109CA5AF28E}"/>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1" name="Group 40">
            <a:extLst>
              <a:ext uri="{FF2B5EF4-FFF2-40B4-BE49-F238E27FC236}">
                <a16:creationId xmlns:a16="http://schemas.microsoft.com/office/drawing/2014/main" id="{7DBE51E8-8BEB-E71A-71FA-CFC4B9518838}"/>
              </a:ext>
            </a:extLst>
          </xdr:cNvPr>
          <xdr:cNvGrpSpPr/>
        </xdr:nvGrpSpPr>
        <xdr:grpSpPr>
          <a:xfrm>
            <a:off x="2883469" y="2287838"/>
            <a:ext cx="2974406" cy="876300"/>
            <a:chOff x="2876550" y="2260238"/>
            <a:chExt cx="2974406" cy="876300"/>
          </a:xfrm>
        </xdr:grpSpPr>
        <xdr:grpSp>
          <xdr:nvGrpSpPr>
            <xdr:cNvPr id="42" name="Group 41">
              <a:extLst>
                <a:ext uri="{FF2B5EF4-FFF2-40B4-BE49-F238E27FC236}">
                  <a16:creationId xmlns:a16="http://schemas.microsoft.com/office/drawing/2014/main" id="{2F9877BA-3514-3672-D5B0-59ECC5FD46ED}"/>
                </a:ext>
              </a:extLst>
            </xdr:cNvPr>
            <xdr:cNvGrpSpPr/>
          </xdr:nvGrpSpPr>
          <xdr:grpSpPr>
            <a:xfrm>
              <a:off x="3450657" y="2260238"/>
              <a:ext cx="2400299" cy="876300"/>
              <a:chOff x="3650682" y="2257425"/>
              <a:chExt cx="2400299" cy="876300"/>
            </a:xfrm>
          </xdr:grpSpPr>
          <xdr:sp macro="" textlink="Supporting_Pivots!$K$21">
            <xdr:nvSpPr>
              <xdr:cNvPr id="44" name="TextBox 43">
                <a:extLst>
                  <a:ext uri="{FF2B5EF4-FFF2-40B4-BE49-F238E27FC236}">
                    <a16:creationId xmlns:a16="http://schemas.microsoft.com/office/drawing/2014/main" id="{A27BDC4E-40CF-4079-BCE9-688A6D0F5092}"/>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a:cs typeface="Segoe UI"/>
                  </a:rPr>
                  <a:pPr algn="ctr"/>
                  <a:t>$ 1.23K</a:t>
                </a:fld>
                <a:endParaRPr lang="en-MY" sz="3200" b="1">
                  <a:solidFill>
                    <a:schemeClr val="accent1"/>
                  </a:solidFill>
                </a:endParaRPr>
              </a:p>
            </xdr:txBody>
          </xdr:sp>
          <xdr:sp macro="" textlink="Supporting_Pivots!$B$21">
            <xdr:nvSpPr>
              <xdr:cNvPr id="45" name="TextBox 44">
                <a:extLst>
                  <a:ext uri="{FF2B5EF4-FFF2-40B4-BE49-F238E27FC236}">
                    <a16:creationId xmlns:a16="http://schemas.microsoft.com/office/drawing/2014/main" id="{1A0D1DA3-13EE-92BA-43E9-8020ACDF04F3}"/>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Average Order Value</a:t>
                </a:r>
                <a:endParaRPr lang="en-MY" sz="1600" b="1">
                  <a:solidFill>
                    <a:schemeClr val="tx1"/>
                  </a:solidFill>
                </a:endParaRPr>
              </a:p>
            </xdr:txBody>
          </xdr:sp>
        </xdr:grpSp>
        <xdr:pic>
          <xdr:nvPicPr>
            <xdr:cNvPr id="43" name="Graphic 42" descr="Label with solid fill">
              <a:extLst>
                <a:ext uri="{FF2B5EF4-FFF2-40B4-BE49-F238E27FC236}">
                  <a16:creationId xmlns:a16="http://schemas.microsoft.com/office/drawing/2014/main" id="{BD374A9A-D10C-0535-7508-E56E808687D4}"/>
                </a:ext>
              </a:extLst>
            </xdr:cNvPr>
            <xdr:cNvPicPr>
              <a:picLocks noChangeAspect="1"/>
            </xdr:cNvPicPr>
          </xdr:nvPicPr>
          <xdr:blipFill>
            <a:blip xmlns:r="http://schemas.openxmlformats.org/officeDocument/2006/relationships" r:embed="rId12">
              <a:extLst>
                <a:ext uri="{96DAC541-7B7A-43D3-8B79-37D633B846F1}">
                  <asvg:svgBlip xmlns="" xmlns:asvg="http://schemas.microsoft.com/office/drawing/2016/SVG/main" r:embed="rId13"/>
                </a:ext>
              </a:extLst>
            </a:blip>
            <a:src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1</xdr:row>
      <xdr:rowOff>188550</xdr:rowOff>
    </xdr:to>
    <xdr:pic>
      <xdr:nvPicPr>
        <xdr:cNvPr id="47" name="Graphic 46" descr="Monthly calendar with solid fill">
          <a:extLst>
            <a:ext uri="{FF2B5EF4-FFF2-40B4-BE49-F238E27FC236}">
              <a16:creationId xmlns:a16="http://schemas.microsoft.com/office/drawing/2014/main" id="{B3F6D255-B817-BAB2-CB28-2F06D29249F8}"/>
            </a:ext>
          </a:extLst>
        </xdr:cNvPr>
        <xdr:cNvPicPr>
          <a:picLocks noChangeAspect="1"/>
        </xdr:cNvPicPr>
      </xdr:nvPicPr>
      <xdr:blipFill>
        <a:blip xmlns:r="http://schemas.openxmlformats.org/officeDocument/2006/relationships" r:embed="rId14">
          <a:extLst>
            <a:ext uri="{96DAC541-7B7A-43D3-8B79-37D633B846F1}">
              <asvg:svgBlip xmlns="" xmlns:asvg="http://schemas.microsoft.com/office/drawing/2016/SVG/main" r:embed="rId15"/>
            </a:ext>
          </a:extLst>
        </a:blip>
        <a:stretch>
          <a:fillRect/>
        </a:stretch>
      </xdr:blipFill>
      <xdr:spPr>
        <a:xfrm>
          <a:off x="15382875" y="38100"/>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enXin Margerate Tan" refreshedDate="46217.797026157408" createdVersion="8" refreshedVersion="8" minRefreshableVersion="3" recordCount="2000">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T02_Total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T04_Average_Order_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T0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T09_Top_5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T0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ockedPosition="1" rowHeight="273050"/>
  <slicer name="Sales Channel" cache="Slicer_Sales_Channel" caption="Sales Channel" lockedPosition="1" rowHeight="273050"/>
  <slicer name="Customer Type" cache="Slicer_Customer_Type" caption="Customer Type" lockedPosition="1" rowHeight="273050"/>
  <slicer name="Product Category" cache="Slicer_Product_Category" caption="Product Category" lockedPosition="1" rowHeight="273050"/>
</slicers>
</file>

<file path=xl/tables/table1.xml><?xml version="1.0" encoding="utf-8"?>
<table xmlns="http://schemas.openxmlformats.org/spreadsheetml/2006/main" id="2" name="Sales_Data" displayName="Sales_Data" ref="A1:L2001" totalsRowShown="0">
  <autoFilter ref="A1:L2001"/>
  <tableColumns count="12">
    <tableColumn id="1" name="Order ID"/>
    <tableColumn id="2" name="Date" dataDxfId="3"/>
    <tableColumn id="3" name="Region"/>
    <tableColumn id="4" name="Sales Channel"/>
    <tableColumn id="5" name="Customer Type"/>
    <tableColumn id="6" name="Product Category"/>
    <tableColumn id="7" name="Product"/>
    <tableColumn id="8" name="Salesperson"/>
    <tableColumn id="9" name="Quantity"/>
    <tableColumn id="10" name="Unit Price" dataDxfId="2"/>
    <tableColumn id="11" name="Discount" dataDxfId="1" dataCellStyle="Percent"/>
    <tableColumn id="12"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Years" level="0" selectionLevel="0" scrollPosition="2026-01-01T00:00:00"/>
  <timeline name="Date 1" cache="NativeTimeline_Date" caption="Days" level="3" selectionLevel="3" scrollPosition="2026-04-05T00:00:00"/>
  <timeline name="Date 2" cache="NativeTimeline_Date" caption="Months" level="2" selectionLevel="2" scrollPosition="2026-01-01T00:00:00"/>
  <timeline name="Date 3" cache="NativeTimeline_Date" caption="Quarters" level="1" selectionLevel="1"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1"/>
  <sheetViews>
    <sheetView zoomScale="140" zoomScaleNormal="140" workbookViewId="0"/>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0"/>
  <sheetViews>
    <sheetView showGridLines="0" showRowColHeaders="0" zoomScaleNormal="100" workbookViewId="0">
      <selection activeCell="B17" sqref="B17"/>
    </sheetView>
  </sheetViews>
  <sheetFormatPr defaultRowHeight="16.5"/>
  <cols>
    <col min="1" max="1" width="3.5" customWidth="1"/>
    <col min="2" max="2" width="40.125" bestFit="1" customWidth="1"/>
    <col min="3" max="3" width="15.5" bestFit="1" customWidth="1"/>
    <col min="5" max="5" width="24.5" bestFit="1" customWidth="1"/>
    <col min="6" max="6" width="15.5" bestFit="1" customWidth="1"/>
    <col min="8" max="8" width="34" bestFit="1" customWidth="1"/>
    <col min="9" max="9" width="15.5" bestFit="1" customWidth="1"/>
    <col min="11" max="11" width="30.5" bestFit="1" customWidth="1"/>
    <col min="12" max="12" width="15.5" bestFit="1" customWidth="1"/>
    <col min="14" max="14" width="31.875" bestFit="1" customWidth="1"/>
    <col min="15" max="15" width="15.5" bestFit="1" customWidth="1"/>
  </cols>
  <sheetData>
    <row r="1" spans="2:2" ht="30.75">
      <c r="B1" s="11" t="s">
        <v>2082</v>
      </c>
    </row>
    <row r="3" spans="2:2" ht="25.5">
      <c r="B3" s="10" t="s">
        <v>2103</v>
      </c>
    </row>
    <row r="4" spans="2:2" ht="20.25">
      <c r="B4" s="13" t="s">
        <v>2072</v>
      </c>
    </row>
    <row r="5" spans="2:2" ht="20.25">
      <c r="B5" s="14" t="s">
        <v>2073</v>
      </c>
    </row>
    <row r="6" spans="2:2" ht="20.25">
      <c r="B6" s="14" t="s">
        <v>2074</v>
      </c>
    </row>
    <row r="7" spans="2:2" ht="20.25">
      <c r="B7" s="14" t="s">
        <v>2075</v>
      </c>
    </row>
    <row r="8" spans="2:2" ht="20.25">
      <c r="B8" s="14" t="s">
        <v>2076</v>
      </c>
    </row>
    <row r="9" spans="2:2" ht="20.25">
      <c r="B9" s="14" t="s">
        <v>2077</v>
      </c>
    </row>
    <row r="10" spans="2:2" ht="20.25">
      <c r="B10" s="14" t="s">
        <v>2078</v>
      </c>
    </row>
    <row r="11" spans="2:2" ht="20.25">
      <c r="B11" s="14" t="s">
        <v>2079</v>
      </c>
    </row>
    <row r="12" spans="2:2" ht="20.25">
      <c r="B12" s="14" t="s">
        <v>2080</v>
      </c>
    </row>
    <row r="13" spans="2:2" ht="20.25">
      <c r="B13" s="14" t="s">
        <v>2081</v>
      </c>
    </row>
    <row r="17" spans="2:15" ht="25.5">
      <c r="B17" s="10" t="s">
        <v>2104</v>
      </c>
    </row>
    <row r="19" spans="2:15">
      <c r="B19" s="12" t="s">
        <v>2107</v>
      </c>
      <c r="E19" s="12" t="s">
        <v>2106</v>
      </c>
      <c r="H19" s="12" t="s">
        <v>2108</v>
      </c>
      <c r="K19" s="12" t="s">
        <v>2109</v>
      </c>
    </row>
    <row r="20" spans="2:15">
      <c r="B20" t="s">
        <v>2083</v>
      </c>
      <c r="E20" t="s">
        <v>2084</v>
      </c>
      <c r="H20" t="s">
        <v>2085</v>
      </c>
      <c r="K20" t="s">
        <v>2086</v>
      </c>
    </row>
    <row r="21" spans="2:15">
      <c r="B21" s="15">
        <v>2452084.3012999957</v>
      </c>
      <c r="E21">
        <v>2000</v>
      </c>
      <c r="H21">
        <v>5552</v>
      </c>
      <c r="K21" s="15">
        <v>1226.0421506499979</v>
      </c>
    </row>
    <row r="24" spans="2:15" ht="25.5">
      <c r="B24" s="10" t="s">
        <v>2105</v>
      </c>
    </row>
    <row r="26" spans="2:15">
      <c r="B26" s="12" t="s">
        <v>2110</v>
      </c>
      <c r="E26" s="12" t="s">
        <v>2111</v>
      </c>
      <c r="H26" s="12" t="s">
        <v>2112</v>
      </c>
      <c r="K26" s="12" t="s">
        <v>2113</v>
      </c>
      <c r="N26" s="12" t="s">
        <v>2114</v>
      </c>
    </row>
    <row r="27" spans="2:15">
      <c r="B27" s="5" t="s">
        <v>2087</v>
      </c>
      <c r="C27" t="s">
        <v>2083</v>
      </c>
      <c r="E27" s="5" t="s">
        <v>2087</v>
      </c>
      <c r="F27" t="s">
        <v>2083</v>
      </c>
      <c r="H27" s="5" t="s">
        <v>2087</v>
      </c>
      <c r="I27" t="s">
        <v>2083</v>
      </c>
      <c r="K27" s="5" t="s">
        <v>2087</v>
      </c>
      <c r="L27" t="s">
        <v>2083</v>
      </c>
      <c r="N27" s="5" t="s">
        <v>2087</v>
      </c>
      <c r="O27" t="s">
        <v>2083</v>
      </c>
    </row>
    <row r="28" spans="2:15">
      <c r="B28" s="6" t="s">
        <v>2089</v>
      </c>
      <c r="C28" s="4">
        <v>168680.62810000006</v>
      </c>
      <c r="E28" s="6" t="s">
        <v>47</v>
      </c>
      <c r="F28" s="4">
        <v>556705.17709999974</v>
      </c>
      <c r="H28" s="6" t="s">
        <v>48</v>
      </c>
      <c r="I28" s="4">
        <v>1346491.2599999995</v>
      </c>
      <c r="K28" s="6" t="s">
        <v>35</v>
      </c>
      <c r="L28" s="4">
        <v>718745.00499999954</v>
      </c>
      <c r="N28" s="6" t="s">
        <v>49</v>
      </c>
      <c r="O28" s="4">
        <v>432576.06000000017</v>
      </c>
    </row>
    <row r="29" spans="2:15">
      <c r="B29" s="6" t="s">
        <v>2090</v>
      </c>
      <c r="C29" s="4">
        <v>173605.24770000001</v>
      </c>
      <c r="E29" s="6" t="s">
        <v>20</v>
      </c>
      <c r="F29" s="4">
        <v>467808.84970000037</v>
      </c>
      <c r="H29" s="6" t="s">
        <v>60</v>
      </c>
      <c r="I29" s="4">
        <v>526744.59000000008</v>
      </c>
      <c r="K29" s="6" t="s">
        <v>41</v>
      </c>
      <c r="L29" s="4">
        <v>310402.93139999988</v>
      </c>
      <c r="N29" s="6" t="s">
        <v>96</v>
      </c>
      <c r="O29" s="4">
        <v>273532.5</v>
      </c>
    </row>
    <row r="30" spans="2:15">
      <c r="B30" s="6" t="s">
        <v>2091</v>
      </c>
      <c r="C30" s="4">
        <v>236738.69749999995</v>
      </c>
      <c r="E30" s="6" t="s">
        <v>31</v>
      </c>
      <c r="F30" s="4">
        <v>561753.72460000007</v>
      </c>
      <c r="H30" s="6" t="s">
        <v>27</v>
      </c>
      <c r="I30" s="4">
        <v>259475.30900000001</v>
      </c>
      <c r="K30" s="6" t="s">
        <v>14</v>
      </c>
      <c r="L30" s="4">
        <v>791536.99460000044</v>
      </c>
      <c r="N30" s="6" t="s">
        <v>71</v>
      </c>
      <c r="O30" s="4">
        <v>263486.39999999991</v>
      </c>
    </row>
    <row r="31" spans="2:15">
      <c r="B31" s="6" t="s">
        <v>2092</v>
      </c>
      <c r="C31" s="4">
        <v>241034.34019999998</v>
      </c>
      <c r="E31" s="6" t="s">
        <v>86</v>
      </c>
      <c r="F31" s="4">
        <v>444494.30199999973</v>
      </c>
      <c r="H31" s="6" t="s">
        <v>23</v>
      </c>
      <c r="I31" s="4">
        <v>229837.62600000011</v>
      </c>
      <c r="K31" s="6" t="s">
        <v>21</v>
      </c>
      <c r="L31" s="4">
        <v>631399.37030000018</v>
      </c>
      <c r="N31" s="6" t="s">
        <v>99</v>
      </c>
      <c r="O31" s="4">
        <v>254994.00000000003</v>
      </c>
    </row>
    <row r="32" spans="2:15">
      <c r="B32" s="6" t="s">
        <v>2093</v>
      </c>
      <c r="C32" s="4">
        <v>153642.42719999998</v>
      </c>
      <c r="E32" s="6" t="s">
        <v>13</v>
      </c>
      <c r="F32" s="4">
        <v>421322.24789999996</v>
      </c>
      <c r="H32" s="6" t="s">
        <v>16</v>
      </c>
      <c r="I32" s="4">
        <v>72895.258099999992</v>
      </c>
      <c r="K32" s="6" t="s">
        <v>2088</v>
      </c>
      <c r="L32" s="4">
        <v>2452084.3012999999</v>
      </c>
      <c r="N32" s="6" t="s">
        <v>67</v>
      </c>
      <c r="O32" s="4">
        <v>190959.45000000004</v>
      </c>
    </row>
    <row r="33" spans="2:15">
      <c r="B33" s="6" t="s">
        <v>2094</v>
      </c>
      <c r="C33" s="4">
        <v>258658.95200000011</v>
      </c>
      <c r="E33" s="6" t="s">
        <v>2088</v>
      </c>
      <c r="F33" s="4">
        <v>2452084.3012999999</v>
      </c>
      <c r="H33" s="6" t="s">
        <v>73</v>
      </c>
      <c r="I33" s="4">
        <v>16640.258200000007</v>
      </c>
      <c r="N33" s="6" t="s">
        <v>2088</v>
      </c>
      <c r="O33" s="4">
        <v>1415548.41</v>
      </c>
    </row>
    <row r="34" spans="2:15">
      <c r="B34" s="6" t="s">
        <v>2095</v>
      </c>
      <c r="C34" s="4">
        <v>150713.13980000003</v>
      </c>
      <c r="H34" s="6" t="s">
        <v>2088</v>
      </c>
      <c r="I34" s="4">
        <v>2452084.3012999999</v>
      </c>
    </row>
    <row r="35" spans="2:15">
      <c r="B35" s="6" t="s">
        <v>2096</v>
      </c>
      <c r="C35" s="4">
        <v>185321.6210000001</v>
      </c>
    </row>
    <row r="36" spans="2:15">
      <c r="B36" s="6" t="s">
        <v>2097</v>
      </c>
      <c r="C36" s="4">
        <v>233080.36130000014</v>
      </c>
    </row>
    <row r="37" spans="2:15">
      <c r="B37" s="6" t="s">
        <v>2098</v>
      </c>
      <c r="C37" s="4">
        <v>189721.56950000001</v>
      </c>
    </row>
    <row r="38" spans="2:15">
      <c r="B38" s="6" t="s">
        <v>2099</v>
      </c>
      <c r="C38" s="4">
        <v>274368.30580000003</v>
      </c>
    </row>
    <row r="39" spans="2:15">
      <c r="B39" s="6" t="s">
        <v>2100</v>
      </c>
      <c r="C39" s="4">
        <v>186519.01119999995</v>
      </c>
    </row>
    <row r="40" spans="2:15">
      <c r="B40" s="6" t="s">
        <v>2088</v>
      </c>
      <c r="C40" s="4">
        <v>2452084.3013000004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showGridLines="0" showRowColHeaders="0" tabSelected="1" zoomScale="70" zoomScaleNormal="70" workbookViewId="0">
      <selection activeCell="B55" sqref="B55"/>
    </sheetView>
  </sheetViews>
  <sheetFormatPr defaultRowHeight="16.5"/>
  <cols>
    <col min="24" max="24" width="10.375" bestFit="1" customWidth="1"/>
  </cols>
  <sheetData>
    <row r="1" spans="1:26">
      <c r="A1" s="7"/>
      <c r="B1" s="7"/>
      <c r="C1" s="7"/>
      <c r="D1" s="7"/>
      <c r="E1" s="16" t="s">
        <v>2102</v>
      </c>
      <c r="F1" s="16"/>
      <c r="G1" s="16"/>
      <c r="H1" s="16"/>
      <c r="I1" s="16"/>
      <c r="J1" s="16"/>
      <c r="K1" s="16"/>
      <c r="L1" s="16"/>
      <c r="M1" s="16"/>
      <c r="N1" s="16"/>
      <c r="O1" s="16"/>
      <c r="P1" s="16"/>
      <c r="Q1" s="16"/>
      <c r="R1" s="16"/>
      <c r="S1" s="16"/>
      <c r="T1" s="16"/>
      <c r="U1" s="16"/>
      <c r="V1" s="16"/>
      <c r="W1" s="7"/>
      <c r="X1" s="8" t="s">
        <v>2101</v>
      </c>
      <c r="Y1" s="7"/>
      <c r="Z1" s="7"/>
    </row>
    <row r="2" spans="1:26">
      <c r="A2" s="7"/>
      <c r="B2" s="7"/>
      <c r="C2" s="7"/>
      <c r="D2" s="7"/>
      <c r="E2" s="16"/>
      <c r="F2" s="16"/>
      <c r="G2" s="16"/>
      <c r="H2" s="16"/>
      <c r="I2" s="16"/>
      <c r="J2" s="16"/>
      <c r="K2" s="16"/>
      <c r="L2" s="16"/>
      <c r="M2" s="16"/>
      <c r="N2" s="16"/>
      <c r="O2" s="16"/>
      <c r="P2" s="16"/>
      <c r="Q2" s="16"/>
      <c r="R2" s="16"/>
      <c r="S2" s="16"/>
      <c r="T2" s="16"/>
      <c r="U2" s="16"/>
      <c r="V2" s="16"/>
      <c r="W2" s="7"/>
      <c r="X2" s="9">
        <f>MAX(Sales_Data[Date])</f>
        <v>46387</v>
      </c>
      <c r="Y2" s="7"/>
      <c r="Z2" s="7"/>
    </row>
    <row r="3" spans="1:26">
      <c r="A3" s="7"/>
      <c r="B3" s="7"/>
      <c r="C3" s="7"/>
      <c r="D3" s="7"/>
      <c r="E3" s="16"/>
      <c r="F3" s="16"/>
      <c r="G3" s="16"/>
      <c r="H3" s="16"/>
      <c r="I3" s="16"/>
      <c r="J3" s="16"/>
      <c r="K3" s="16"/>
      <c r="L3" s="16"/>
      <c r="M3" s="16"/>
      <c r="N3" s="16"/>
      <c r="O3" s="16"/>
      <c r="P3" s="16"/>
      <c r="Q3" s="16"/>
      <c r="R3" s="16"/>
      <c r="S3" s="16"/>
      <c r="T3" s="16"/>
      <c r="U3" s="16"/>
      <c r="V3" s="16"/>
      <c r="W3" s="7"/>
      <c r="X3" s="7"/>
      <c r="Y3" s="7"/>
      <c r="Z3" s="7"/>
    </row>
  </sheetData>
  <sheetProtection sheet="1" objects="1" scenarios="1" selectLockedCells="1" autoFilter="0"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intel</cp:lastModifiedBy>
  <dcterms:created xsi:type="dcterms:W3CDTF">2015-06-05T18:17:20Z</dcterms:created>
  <dcterms:modified xsi:type="dcterms:W3CDTF">2026-10-16T14:55:24Z</dcterms:modified>
</cp:coreProperties>
</file>